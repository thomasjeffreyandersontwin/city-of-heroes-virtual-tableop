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mpions\applications\COH\"/>
    </mc:Choice>
  </mc:AlternateContent>
  <bookViews>
    <workbookView xWindow="0" yWindow="0" windowWidth="21930" windowHeight="10820"/>
  </bookViews>
  <sheets>
    <sheet name="Sheet1" sheetId="1" r:id="rId1"/>
    <sheet name="Sheet2" sheetId="2" r:id="rId2"/>
  </sheet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K9" i="1" s="1"/>
  <c r="K8" i="1"/>
  <c r="B8" i="1"/>
  <c r="B31" i="1" l="1"/>
  <c r="B32" i="1"/>
  <c r="B28" i="1"/>
  <c r="B33" i="1"/>
  <c r="C7" i="1"/>
  <c r="D7" i="1" s="1"/>
  <c r="E7" i="1" s="1"/>
  <c r="F7" i="1" s="1"/>
  <c r="G7" i="1" s="1"/>
  <c r="H7" i="1" s="1"/>
  <c r="G16" i="1"/>
  <c r="G15" i="1"/>
  <c r="C6" i="1"/>
  <c r="D6" i="1" s="1"/>
  <c r="E6" i="1" s="1"/>
  <c r="F6" i="1" s="1"/>
  <c r="G6" i="1" s="1"/>
  <c r="H6" i="1" s="1"/>
  <c r="I6" i="1" s="1"/>
  <c r="J6" i="1" s="1"/>
  <c r="C5" i="1"/>
  <c r="D5" i="1" s="1"/>
  <c r="E5" i="1" s="1"/>
  <c r="F5" i="1" s="1"/>
  <c r="G5" i="1" s="1"/>
  <c r="H5" i="1" s="1"/>
  <c r="I5" i="1" s="1"/>
  <c r="J5" i="1" s="1"/>
  <c r="G2" i="1"/>
  <c r="H2" i="1" s="1"/>
  <c r="I2" i="1" s="1"/>
  <c r="J2" i="1" s="1"/>
  <c r="C3" i="1"/>
  <c r="D3" i="1" s="1"/>
  <c r="E3" i="1" s="1"/>
  <c r="F3" i="1" s="1"/>
  <c r="I7" i="1" l="1"/>
  <c r="J7" i="1" s="1"/>
  <c r="G3" i="1"/>
  <c r="H3" i="1" s="1"/>
  <c r="I3" i="1" s="1"/>
  <c r="J3" i="1" s="1"/>
  <c r="C4" i="1"/>
  <c r="D4" i="1" s="1"/>
  <c r="E4" i="1" s="1"/>
  <c r="F4" i="1" s="1"/>
  <c r="G4" i="1" l="1"/>
  <c r="H4" i="1" s="1"/>
  <c r="I4" i="1" s="1"/>
  <c r="J4" i="1" s="1"/>
  <c r="C9" i="1" l="1"/>
  <c r="D9" i="1" s="1"/>
  <c r="E9" i="1" s="1"/>
  <c r="F9" i="1" s="1"/>
  <c r="G9" i="1" s="1"/>
  <c r="H9" i="1" s="1"/>
  <c r="I9" i="1" s="1"/>
  <c r="J9" i="1" s="1"/>
</calcChain>
</file>

<file path=xl/sharedStrings.xml><?xml version="1.0" encoding="utf-8"?>
<sst xmlns="http://schemas.openxmlformats.org/spreadsheetml/2006/main" count="126" uniqueCount="95">
  <si>
    <t>Level</t>
  </si>
  <si>
    <t>Dependant</t>
  </si>
  <si>
    <t>Normal</t>
  </si>
  <si>
    <t>Enhanced</t>
  </si>
  <si>
    <t>Super Human</t>
  </si>
  <si>
    <t>Epic</t>
  </si>
  <si>
    <t>Titan</t>
  </si>
  <si>
    <t>Omniscient</t>
  </si>
  <si>
    <t>Physical</t>
  </si>
  <si>
    <t>Mental</t>
  </si>
  <si>
    <t>Strength</t>
  </si>
  <si>
    <t>Stamina</t>
  </si>
  <si>
    <t>Damage</t>
  </si>
  <si>
    <t>Lift</t>
  </si>
  <si>
    <t>Tough</t>
  </si>
  <si>
    <t>Recuperate</t>
  </si>
  <si>
    <t>Endurance</t>
  </si>
  <si>
    <t>Kinetic</t>
  </si>
  <si>
    <t>Lethal</t>
  </si>
  <si>
    <t>Focus</t>
  </si>
  <si>
    <t>Knowledge</t>
  </si>
  <si>
    <t>Tactics</t>
  </si>
  <si>
    <t>Willpower</t>
  </si>
  <si>
    <t>Situational</t>
  </si>
  <si>
    <t>Perception</t>
  </si>
  <si>
    <t>Charisma</t>
  </si>
  <si>
    <t>Charm</t>
  </si>
  <si>
    <t>Intimidate</t>
  </si>
  <si>
    <t>Resist</t>
  </si>
  <si>
    <t>Dominate</t>
  </si>
  <si>
    <t>Cignitive?</t>
  </si>
  <si>
    <t>Coordination</t>
  </si>
  <si>
    <t>Aim</t>
  </si>
  <si>
    <t>Agility</t>
  </si>
  <si>
    <t>planet</t>
  </si>
  <si>
    <t>manhattan</t>
  </si>
  <si>
    <t>North America</t>
  </si>
  <si>
    <t>Manhattan</t>
  </si>
  <si>
    <t>average Cruise ship</t>
  </si>
  <si>
    <t>Largest cruise ship</t>
  </si>
  <si>
    <t>tank</t>
  </si>
  <si>
    <t>Sky Scraper</t>
  </si>
  <si>
    <t>Heavy aircraft</t>
  </si>
  <si>
    <t>Medium aircraft</t>
  </si>
  <si>
    <t>Jet Fighter</t>
  </si>
  <si>
    <t>Bus</t>
  </si>
  <si>
    <t>car</t>
  </si>
  <si>
    <t>Motor Bike</t>
  </si>
  <si>
    <t>Truck</t>
  </si>
  <si>
    <t>Mt everest</t>
  </si>
  <si>
    <t>Pacific Ocean</t>
  </si>
  <si>
    <t>washington Monument</t>
  </si>
  <si>
    <t>TV</t>
  </si>
  <si>
    <t>Planetary</t>
  </si>
  <si>
    <t>Min</t>
  </si>
  <si>
    <t>Max</t>
  </si>
  <si>
    <t>0 - 5 lbs</t>
  </si>
  <si>
    <t>80 lbs</t>
  </si>
  <si>
    <t>Child</t>
  </si>
  <si>
    <t>80 - 120 lbs</t>
  </si>
  <si>
    <t>1,000 lbs</t>
  </si>
  <si>
    <t>.5 - 1 ton</t>
  </si>
  <si>
    <t>5 Tons</t>
  </si>
  <si>
    <t>5 - 10 Tons</t>
  </si>
  <si>
    <t>100 tons</t>
  </si>
  <si>
    <t>200 tons</t>
  </si>
  <si>
    <t>80k - 225k tons</t>
  </si>
  <si>
    <t>80K tons</t>
  </si>
  <si>
    <t>125M Tons</t>
  </si>
  <si>
    <t>Cosmic</t>
  </si>
  <si>
    <t>6.5S Tons</t>
  </si>
  <si>
    <t>125M - 500T Tons</t>
  </si>
  <si>
    <t>Omni</t>
  </si>
  <si>
    <t>1.9O Tons</t>
  </si>
  <si>
    <t>13U Tons</t>
  </si>
  <si>
    <t>smalll car</t>
  </si>
  <si>
    <t>Captain America</t>
  </si>
  <si>
    <t>small bus</t>
  </si>
  <si>
    <t>Small Aircraft</t>
  </si>
  <si>
    <t>Batman</t>
  </si>
  <si>
    <t>Weakling</t>
  </si>
  <si>
    <t>Ult. Spiderman</t>
  </si>
  <si>
    <t>Beyonder</t>
  </si>
  <si>
    <t>Cruise Ship</t>
  </si>
  <si>
    <t>Skyscraper</t>
  </si>
  <si>
    <t>Mt. Everest</t>
  </si>
  <si>
    <t>Sun</t>
  </si>
  <si>
    <t>SM Black-Hole</t>
  </si>
  <si>
    <t>Planet Earth</t>
  </si>
  <si>
    <t>SA Super-Man</t>
  </si>
  <si>
    <t>Super-man</t>
  </si>
  <si>
    <t>WW Hulk</t>
  </si>
  <si>
    <t>Marvel Bricks</t>
  </si>
  <si>
    <t>Spider-Man</t>
  </si>
  <si>
    <t>DC Bricks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</si>
</sst>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164" fontId="0" fillId="0" borderId="0" xfId="1" applyNumberFormat="1" applyFont="1"/>
    <xf numFmtId="1" fontId="2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Border="1" applyAlignment="1"/>
    <xf numFmtId="0" fontId="0" fillId="0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abSelected="1" workbookViewId="0">
      <pane xSplit="8" topLeftCell="T1" activePane="topRight" state="frozen"/>
      <selection pane="topRight" activeCell="AB5" sqref="AB5"/>
    </sheetView>
  </sheetViews>
  <sheetFormatPr defaultRowHeight="14.5" x14ac:dyDescent="0.35"/>
  <cols>
    <col min="1" max="1" width="28.81640625" customWidth="1"/>
    <col min="2" max="2" width="39.90625" customWidth="1"/>
    <col min="3" max="8" width="1.6328125" hidden="1" customWidth="1"/>
    <col min="9" max="9" width="1.54296875" customWidth="1"/>
    <col min="10" max="10" width="8" hidden="1" customWidth="1"/>
    <col min="11" max="11" width="46.36328125" bestFit="1" customWidth="1"/>
    <col min="12" max="12" width="14.54296875" customWidth="1"/>
    <col min="13" max="26" width="14.453125" customWidth="1"/>
    <col min="27" max="27" width="15.6328125" bestFit="1" customWidth="1"/>
    <col min="28" max="28" width="18.453125" customWidth="1"/>
  </cols>
  <sheetData>
    <row r="1" spans="1:28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M1" s="10" t="s">
        <v>1</v>
      </c>
      <c r="N1" s="10"/>
      <c r="O1" s="10" t="s">
        <v>2</v>
      </c>
      <c r="P1" s="10"/>
      <c r="Q1" s="10" t="s">
        <v>3</v>
      </c>
      <c r="R1" s="10"/>
      <c r="S1" s="10" t="s">
        <v>4</v>
      </c>
      <c r="T1" s="10"/>
      <c r="U1" s="10" t="s">
        <v>5</v>
      </c>
      <c r="V1" s="10"/>
      <c r="W1" s="10" t="s">
        <v>6</v>
      </c>
      <c r="X1" s="10"/>
      <c r="Y1" s="10" t="s">
        <v>69</v>
      </c>
      <c r="Z1" s="10"/>
      <c r="AA1" s="10" t="s">
        <v>72</v>
      </c>
      <c r="AB1" s="10"/>
    </row>
    <row r="2" spans="1:28" x14ac:dyDescent="0.35">
      <c r="A2" t="s">
        <v>1</v>
      </c>
      <c r="B2" s="2">
        <v>5</v>
      </c>
      <c r="C2" s="2">
        <v>10</v>
      </c>
      <c r="D2" s="2">
        <v>20</v>
      </c>
      <c r="E2" s="2">
        <v>40</v>
      </c>
      <c r="F2" s="2">
        <v>80</v>
      </c>
      <c r="G2" s="2">
        <f t="shared" ref="D2:J3" si="0">($K2-$B2)/9+F2</f>
        <v>88.333333333333329</v>
      </c>
      <c r="H2" s="2">
        <f t="shared" si="0"/>
        <v>96.666666666666657</v>
      </c>
      <c r="I2" s="2">
        <f t="shared" si="0"/>
        <v>104.99999999999999</v>
      </c>
      <c r="J2" s="2">
        <f t="shared" si="0"/>
        <v>113.33333333333331</v>
      </c>
      <c r="K2" s="2">
        <v>80</v>
      </c>
      <c r="M2" s="8" t="s">
        <v>54</v>
      </c>
      <c r="N2" s="8" t="s">
        <v>55</v>
      </c>
      <c r="O2" s="8" t="s">
        <v>54</v>
      </c>
      <c r="P2" s="8" t="s">
        <v>55</v>
      </c>
      <c r="Q2" s="8" t="s">
        <v>54</v>
      </c>
      <c r="R2" s="8" t="s">
        <v>55</v>
      </c>
      <c r="S2" s="8" t="s">
        <v>54</v>
      </c>
      <c r="T2" s="8" t="s">
        <v>55</v>
      </c>
      <c r="U2" s="8" t="s">
        <v>54</v>
      </c>
      <c r="V2" s="8" t="s">
        <v>55</v>
      </c>
      <c r="W2" s="8" t="s">
        <v>54</v>
      </c>
      <c r="X2" s="8" t="s">
        <v>55</v>
      </c>
      <c r="Y2" s="8" t="s">
        <v>54</v>
      </c>
      <c r="Z2" s="8" t="s">
        <v>55</v>
      </c>
      <c r="AA2" s="8" t="s">
        <v>54</v>
      </c>
      <c r="AB2" s="8" t="s">
        <v>55</v>
      </c>
    </row>
    <row r="3" spans="1:28" x14ac:dyDescent="0.35">
      <c r="A3" t="s">
        <v>2</v>
      </c>
      <c r="B3" s="2">
        <v>120</v>
      </c>
      <c r="C3" s="2">
        <f>($K3-$B3)/9+B3</f>
        <v>217.77777777777777</v>
      </c>
      <c r="D3" s="2">
        <f t="shared" si="0"/>
        <v>315.55555555555554</v>
      </c>
      <c r="E3" s="2">
        <f t="shared" si="0"/>
        <v>413.33333333333331</v>
      </c>
      <c r="F3" s="2">
        <f t="shared" si="0"/>
        <v>511.11111111111109</v>
      </c>
      <c r="G3" s="2">
        <f t="shared" si="0"/>
        <v>608.88888888888891</v>
      </c>
      <c r="H3" s="2">
        <f t="shared" si="0"/>
        <v>706.66666666666674</v>
      </c>
      <c r="I3" s="2">
        <f t="shared" si="0"/>
        <v>804.44444444444457</v>
      </c>
      <c r="J3" s="2">
        <f t="shared" si="0"/>
        <v>902.2222222222224</v>
      </c>
      <c r="K3" s="2">
        <v>1000</v>
      </c>
      <c r="L3" t="s">
        <v>10</v>
      </c>
      <c r="M3" s="9" t="s">
        <v>56</v>
      </c>
      <c r="N3" s="9" t="s">
        <v>57</v>
      </c>
      <c r="O3" s="9" t="s">
        <v>59</v>
      </c>
      <c r="P3" s="9" t="s">
        <v>60</v>
      </c>
      <c r="Q3" s="9" t="s">
        <v>61</v>
      </c>
      <c r="R3" s="9" t="s">
        <v>62</v>
      </c>
      <c r="S3" s="11" t="s">
        <v>63</v>
      </c>
      <c r="T3" s="9" t="s">
        <v>64</v>
      </c>
      <c r="U3" s="9" t="s">
        <v>65</v>
      </c>
      <c r="V3" s="9" t="s">
        <v>67</v>
      </c>
      <c r="W3" s="9" t="s">
        <v>66</v>
      </c>
      <c r="X3" s="9" t="s">
        <v>68</v>
      </c>
      <c r="Y3" s="9" t="s">
        <v>71</v>
      </c>
      <c r="Z3" s="9" t="s">
        <v>70</v>
      </c>
      <c r="AA3" s="9" t="s">
        <v>73</v>
      </c>
      <c r="AB3" s="9" t="s">
        <v>74</v>
      </c>
    </row>
    <row r="4" spans="1:28" x14ac:dyDescent="0.35">
      <c r="A4" t="s">
        <v>3</v>
      </c>
      <c r="B4" s="2">
        <v>2000</v>
      </c>
      <c r="C4" s="2">
        <f t="shared" ref="C4:J7" si="1">($K4-$B4)/9+B4</f>
        <v>2888.8888888888887</v>
      </c>
      <c r="D4" s="2">
        <f t="shared" si="1"/>
        <v>3777.7777777777774</v>
      </c>
      <c r="E4" s="2">
        <f t="shared" si="1"/>
        <v>4666.6666666666661</v>
      </c>
      <c r="F4" s="2">
        <f t="shared" si="1"/>
        <v>5555.5555555555547</v>
      </c>
      <c r="G4" s="2">
        <f t="shared" si="1"/>
        <v>6444.4444444444434</v>
      </c>
      <c r="H4" s="2">
        <f t="shared" si="1"/>
        <v>7333.3333333333321</v>
      </c>
      <c r="I4" s="2">
        <f t="shared" si="1"/>
        <v>8222.2222222222208</v>
      </c>
      <c r="J4" s="2">
        <f t="shared" si="1"/>
        <v>9111.1111111111095</v>
      </c>
      <c r="K4" s="2">
        <v>10000</v>
      </c>
      <c r="M4" s="7"/>
      <c r="N4" t="s">
        <v>52</v>
      </c>
      <c r="O4" s="7"/>
      <c r="P4" t="s">
        <v>47</v>
      </c>
      <c r="Q4" s="7" t="s">
        <v>75</v>
      </c>
      <c r="R4" s="7"/>
      <c r="S4" s="7" t="s">
        <v>77</v>
      </c>
      <c r="T4" s="7" t="s">
        <v>78</v>
      </c>
      <c r="U4" s="7"/>
      <c r="V4" s="7" t="s">
        <v>83</v>
      </c>
      <c r="W4" s="7" t="s">
        <v>84</v>
      </c>
      <c r="X4" s="7" t="s">
        <v>37</v>
      </c>
      <c r="Y4" s="7" t="s">
        <v>85</v>
      </c>
      <c r="Z4" s="7" t="s">
        <v>88</v>
      </c>
      <c r="AA4" s="13" t="s">
        <v>86</v>
      </c>
      <c r="AB4" s="7" t="s">
        <v>87</v>
      </c>
    </row>
    <row r="5" spans="1:28" x14ac:dyDescent="0.35">
      <c r="A5" t="s">
        <v>4</v>
      </c>
      <c r="B5" s="2">
        <v>10</v>
      </c>
      <c r="C5" s="2">
        <f t="shared" si="1"/>
        <v>20</v>
      </c>
      <c r="D5" s="2">
        <f t="shared" si="1"/>
        <v>30</v>
      </c>
      <c r="E5" s="2">
        <f t="shared" si="1"/>
        <v>40</v>
      </c>
      <c r="F5" s="2">
        <f t="shared" si="1"/>
        <v>50</v>
      </c>
      <c r="G5" s="2">
        <f t="shared" si="1"/>
        <v>60</v>
      </c>
      <c r="H5" s="2">
        <f t="shared" si="1"/>
        <v>70</v>
      </c>
      <c r="I5" s="2">
        <f t="shared" si="1"/>
        <v>80</v>
      </c>
      <c r="J5" s="2">
        <f t="shared" si="1"/>
        <v>90</v>
      </c>
      <c r="K5" s="2">
        <v>100</v>
      </c>
      <c r="M5" s="6" t="s">
        <v>58</v>
      </c>
      <c r="N5" s="6"/>
      <c r="O5" s="12" t="s">
        <v>80</v>
      </c>
      <c r="P5" s="12" t="s">
        <v>79</v>
      </c>
      <c r="Q5" s="12" t="s">
        <v>76</v>
      </c>
      <c r="R5" s="12" t="s">
        <v>81</v>
      </c>
      <c r="S5" s="12" t="s">
        <v>93</v>
      </c>
      <c r="T5" s="12"/>
      <c r="U5" s="6" t="s">
        <v>92</v>
      </c>
      <c r="V5" s="6"/>
      <c r="W5" s="6" t="s">
        <v>94</v>
      </c>
      <c r="X5" s="6"/>
      <c r="Y5" s="12" t="s">
        <v>91</v>
      </c>
      <c r="Z5" t="s">
        <v>90</v>
      </c>
      <c r="AA5" s="12" t="s">
        <v>89</v>
      </c>
      <c r="AB5" s="12" t="s">
        <v>82</v>
      </c>
    </row>
    <row r="6" spans="1:28" x14ac:dyDescent="0.35">
      <c r="A6" t="s">
        <v>5</v>
      </c>
      <c r="B6" s="2">
        <v>200</v>
      </c>
      <c r="C6" s="2">
        <f t="shared" si="1"/>
        <v>9066.6666666666661</v>
      </c>
      <c r="D6" s="2">
        <f t="shared" si="1"/>
        <v>17933.333333333332</v>
      </c>
      <c r="E6" s="2">
        <f t="shared" si="1"/>
        <v>26800</v>
      </c>
      <c r="F6" s="2">
        <f t="shared" si="1"/>
        <v>35666.666666666664</v>
      </c>
      <c r="G6" s="2">
        <f t="shared" si="1"/>
        <v>44533.333333333328</v>
      </c>
      <c r="H6" s="2">
        <f t="shared" si="1"/>
        <v>53399.999999999993</v>
      </c>
      <c r="I6" s="2">
        <f t="shared" si="1"/>
        <v>62266.666666666657</v>
      </c>
      <c r="J6" s="2">
        <f t="shared" si="1"/>
        <v>71133.333333333328</v>
      </c>
      <c r="K6" s="2">
        <v>80000</v>
      </c>
    </row>
    <row r="7" spans="1:28" x14ac:dyDescent="0.35">
      <c r="A7" t="s">
        <v>6</v>
      </c>
      <c r="B7" s="2">
        <v>225000</v>
      </c>
      <c r="C7" s="2">
        <f t="shared" si="1"/>
        <v>14088888.888888888</v>
      </c>
      <c r="D7" s="2">
        <f t="shared" si="1"/>
        <v>27952777.777777776</v>
      </c>
      <c r="E7" s="2">
        <f t="shared" si="1"/>
        <v>41816666.666666664</v>
      </c>
      <c r="F7" s="2">
        <f t="shared" si="1"/>
        <v>55680555.555555552</v>
      </c>
      <c r="G7" s="2">
        <f t="shared" si="1"/>
        <v>69544444.444444448</v>
      </c>
      <c r="H7" s="2">
        <f t="shared" si="1"/>
        <v>83408333.333333343</v>
      </c>
      <c r="I7" s="2">
        <f t="shared" si="1"/>
        <v>97272222.222222239</v>
      </c>
      <c r="J7" s="2">
        <f t="shared" si="1"/>
        <v>111136111.11111113</v>
      </c>
      <c r="K7" s="2">
        <v>125000000</v>
      </c>
    </row>
    <row r="8" spans="1:28" x14ac:dyDescent="0.35">
      <c r="A8" t="s">
        <v>53</v>
      </c>
      <c r="B8" s="4">
        <f>5*10^14</f>
        <v>500000000000000</v>
      </c>
      <c r="K8" s="2">
        <f>(5.974E+24 )*2.2/2000</f>
        <v>6.5714000000000008E+21</v>
      </c>
    </row>
    <row r="9" spans="1:28" x14ac:dyDescent="0.35">
      <c r="A9" t="s">
        <v>7</v>
      </c>
      <c r="B9" s="1">
        <f>(1.989*10^30)/1000</f>
        <v>1.9890000000000003E+27</v>
      </c>
      <c r="C9" s="2">
        <f>($K9-$B8)/9+B8</f>
        <v>1.4586000000000003E+36</v>
      </c>
      <c r="D9" s="2">
        <f>($K9-$B8)/9+C9</f>
        <v>2.9172000000000007E+36</v>
      </c>
      <c r="E9" s="2">
        <f>($K9-$B8)/9+D9</f>
        <v>4.3758000000000007E+36</v>
      </c>
      <c r="F9" s="2">
        <f>($K9-$B8)/9+E9</f>
        <v>5.8344000000000013E+36</v>
      </c>
      <c r="G9" s="2">
        <f>($K9-$B8)/9+F9</f>
        <v>7.2930000000000019E+36</v>
      </c>
      <c r="H9" s="2">
        <f>($K9-$B8)/9+G9</f>
        <v>8.7516000000000025E+36</v>
      </c>
      <c r="I9" s="2">
        <f>($K9-$B8)/9+H9</f>
        <v>1.0210200000000003E+37</v>
      </c>
      <c r="J9" s="2">
        <f>($K9-$B8)/9+I9</f>
        <v>1.1668800000000003E+37</v>
      </c>
      <c r="K9" s="2">
        <f>B9*6600000000</f>
        <v>1.3127400000000002E+37</v>
      </c>
    </row>
    <row r="10" spans="1:28" x14ac:dyDescent="0.35">
      <c r="Q10" t="s">
        <v>3</v>
      </c>
    </row>
    <row r="11" spans="1:28" x14ac:dyDescent="0.35">
      <c r="A11" t="s">
        <v>47</v>
      </c>
      <c r="B11" s="2">
        <v>0.5</v>
      </c>
    </row>
    <row r="12" spans="1:28" x14ac:dyDescent="0.35">
      <c r="A12" t="s">
        <v>46</v>
      </c>
      <c r="B12">
        <v>2</v>
      </c>
      <c r="P12" t="s">
        <v>4</v>
      </c>
    </row>
    <row r="13" spans="1:28" x14ac:dyDescent="0.35">
      <c r="A13" t="s">
        <v>48</v>
      </c>
      <c r="B13">
        <v>14</v>
      </c>
      <c r="P13" t="s">
        <v>5</v>
      </c>
    </row>
    <row r="14" spans="1:28" x14ac:dyDescent="0.35">
      <c r="A14" t="s">
        <v>44</v>
      </c>
      <c r="B14">
        <v>14</v>
      </c>
      <c r="P14" t="s">
        <v>6</v>
      </c>
    </row>
    <row r="15" spans="1:28" x14ac:dyDescent="0.35">
      <c r="A15" t="s">
        <v>45</v>
      </c>
      <c r="B15">
        <v>15</v>
      </c>
      <c r="G15" s="2">
        <f>1.317E+25/2000</f>
        <v>6.5849999999999997E+21</v>
      </c>
      <c r="H15" t="s">
        <v>34</v>
      </c>
      <c r="P15" t="s">
        <v>53</v>
      </c>
    </row>
    <row r="16" spans="1:28" x14ac:dyDescent="0.35">
      <c r="A16" t="s">
        <v>40</v>
      </c>
      <c r="B16">
        <v>62</v>
      </c>
      <c r="G16" s="3">
        <f>5366250/2000</f>
        <v>2683.125</v>
      </c>
      <c r="H16" t="s">
        <v>35</v>
      </c>
      <c r="P16" t="s">
        <v>7</v>
      </c>
    </row>
    <row r="17" spans="1:2" x14ac:dyDescent="0.35">
      <c r="A17" t="s">
        <v>43</v>
      </c>
      <c r="B17">
        <v>150</v>
      </c>
    </row>
    <row r="18" spans="1:2" x14ac:dyDescent="0.35">
      <c r="A18" t="s">
        <v>42</v>
      </c>
      <c r="B18">
        <v>600</v>
      </c>
    </row>
    <row r="19" spans="1:2" x14ac:dyDescent="0.35">
      <c r="A19" s="1"/>
    </row>
    <row r="21" spans="1:2" x14ac:dyDescent="0.35">
      <c r="A21" t="s">
        <v>38</v>
      </c>
      <c r="B21" s="4">
        <v>60000</v>
      </c>
    </row>
    <row r="22" spans="1:2" x14ac:dyDescent="0.35">
      <c r="A22" t="s">
        <v>51</v>
      </c>
      <c r="B22" s="4">
        <v>81000</v>
      </c>
    </row>
    <row r="23" spans="1:2" x14ac:dyDescent="0.35">
      <c r="A23" t="s">
        <v>41</v>
      </c>
      <c r="B23" s="4">
        <v>222500</v>
      </c>
    </row>
    <row r="24" spans="1:2" x14ac:dyDescent="0.35">
      <c r="A24" t="s">
        <v>39</v>
      </c>
      <c r="B24" s="4">
        <v>227000</v>
      </c>
    </row>
    <row r="26" spans="1:2" x14ac:dyDescent="0.35">
      <c r="A26" t="s">
        <v>37</v>
      </c>
      <c r="B26" s="5">
        <v>125208467</v>
      </c>
    </row>
    <row r="28" spans="1:2" x14ac:dyDescent="0.35">
      <c r="A28" t="s">
        <v>49</v>
      </c>
      <c r="B28" s="4">
        <f>5*10^14</f>
        <v>500000000000000</v>
      </c>
    </row>
    <row r="31" spans="1:2" x14ac:dyDescent="0.35">
      <c r="A31" t="s">
        <v>50</v>
      </c>
      <c r="B31" s="2">
        <f>(1.37*10)^21/1000</f>
        <v>7.4324485283505032E+20</v>
      </c>
    </row>
    <row r="32" spans="1:2" x14ac:dyDescent="0.35">
      <c r="A32" t="s">
        <v>36</v>
      </c>
      <c r="B32" s="2">
        <f>((2.9*10^23*2.2)/1000)</f>
        <v>6.38E+20</v>
      </c>
    </row>
    <row r="33" spans="1:2" x14ac:dyDescent="0.35">
      <c r="A33" t="s">
        <v>34</v>
      </c>
      <c r="B33" s="2">
        <f>(5.974E+24 )*2.2/2000</f>
        <v>6.5714000000000008E+21</v>
      </c>
    </row>
  </sheetData>
  <mergeCells count="11">
    <mergeCell ref="Y1:Z1"/>
    <mergeCell ref="AA1:AB1"/>
    <mergeCell ref="S1:T1"/>
    <mergeCell ref="U1:V1"/>
    <mergeCell ref="U5:V5"/>
    <mergeCell ref="W1:X1"/>
    <mergeCell ref="W5:X5"/>
    <mergeCell ref="M1:N1"/>
    <mergeCell ref="M5:N5"/>
    <mergeCell ref="O1:P1"/>
    <mergeCell ref="Q1:R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C1" sqref="C1:C1048576"/>
    </sheetView>
  </sheetViews>
  <sheetFormatPr defaultRowHeight="14.5" x14ac:dyDescent="0.35"/>
  <cols>
    <col min="1" max="1" width="19.54296875" customWidth="1"/>
    <col min="2" max="2" width="18.26953125" customWidth="1"/>
    <col min="3" max="3" width="23.1796875" customWidth="1"/>
  </cols>
  <sheetData>
    <row r="1" spans="1:3" x14ac:dyDescent="0.35">
      <c r="B1" t="s">
        <v>10</v>
      </c>
      <c r="C1" t="s">
        <v>12</v>
      </c>
    </row>
    <row r="2" spans="1:3" x14ac:dyDescent="0.35">
      <c r="C2" t="s">
        <v>13</v>
      </c>
    </row>
    <row r="5" spans="1:3" x14ac:dyDescent="0.35">
      <c r="A5" t="s">
        <v>8</v>
      </c>
      <c r="B5" t="s">
        <v>11</v>
      </c>
      <c r="C5" t="s">
        <v>15</v>
      </c>
    </row>
    <row r="6" spans="1:3" x14ac:dyDescent="0.35">
      <c r="C6" t="s">
        <v>16</v>
      </c>
    </row>
    <row r="7" spans="1:3" x14ac:dyDescent="0.35">
      <c r="B7" t="s">
        <v>14</v>
      </c>
      <c r="C7" t="s">
        <v>17</v>
      </c>
    </row>
    <row r="8" spans="1:3" x14ac:dyDescent="0.35">
      <c r="C8" t="s">
        <v>18</v>
      </c>
    </row>
    <row r="10" spans="1:3" x14ac:dyDescent="0.35">
      <c r="A10" t="s">
        <v>31</v>
      </c>
      <c r="B10" t="s">
        <v>32</v>
      </c>
    </row>
    <row r="11" spans="1:3" x14ac:dyDescent="0.35">
      <c r="B11" t="s">
        <v>33</v>
      </c>
    </row>
    <row r="12" spans="1:3" x14ac:dyDescent="0.35">
      <c r="B12" t="s">
        <v>31</v>
      </c>
    </row>
    <row r="15" spans="1:3" x14ac:dyDescent="0.35">
      <c r="C15" t="s">
        <v>24</v>
      </c>
    </row>
    <row r="16" spans="1:3" x14ac:dyDescent="0.35">
      <c r="B16" t="s">
        <v>23</v>
      </c>
      <c r="C16" t="s">
        <v>21</v>
      </c>
    </row>
    <row r="18" spans="1:3" x14ac:dyDescent="0.35">
      <c r="B18" t="s">
        <v>25</v>
      </c>
      <c r="C18" t="s">
        <v>26</v>
      </c>
    </row>
    <row r="19" spans="1:3" x14ac:dyDescent="0.35">
      <c r="C19" t="s">
        <v>27</v>
      </c>
    </row>
    <row r="22" spans="1:3" x14ac:dyDescent="0.35">
      <c r="A22" t="s">
        <v>9</v>
      </c>
      <c r="B22" t="s">
        <v>20</v>
      </c>
    </row>
    <row r="24" spans="1:3" x14ac:dyDescent="0.35">
      <c r="B24" t="s">
        <v>19</v>
      </c>
    </row>
    <row r="26" spans="1:3" x14ac:dyDescent="0.35">
      <c r="B26" t="s">
        <v>22</v>
      </c>
      <c r="C26" t="s">
        <v>28</v>
      </c>
    </row>
    <row r="27" spans="1:3" x14ac:dyDescent="0.35">
      <c r="C27" t="s">
        <v>29</v>
      </c>
    </row>
    <row r="29" spans="1:3" x14ac:dyDescent="0.35">
      <c r="B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Anderson</dc:creator>
  <cp:lastModifiedBy>Jeff Anderson</cp:lastModifiedBy>
  <dcterms:created xsi:type="dcterms:W3CDTF">2017-02-26T15:01:37Z</dcterms:created>
  <dcterms:modified xsi:type="dcterms:W3CDTF">2017-02-28T02:31:02Z</dcterms:modified>
</cp:coreProperties>
</file>